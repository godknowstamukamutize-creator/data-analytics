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odkn\Documents\DataAnalytics\pre-week-2\"/>
    </mc:Choice>
  </mc:AlternateContent>
  <xr:revisionPtr revIDLastSave="0" documentId="13_ncr:1_{732953B4-E705-472C-A141-93E22D199BBE}" xr6:coauthVersionLast="47" xr6:coauthVersionMax="47" xr10:uidLastSave="{00000000-0000-0000-0000-000000000000}"/>
  <bookViews>
    <workbookView xWindow="-110" yWindow="-110" windowWidth="19420" windowHeight="11500" xr2:uid="{0D5148DB-0F40-4791-8578-71900E8F3673}"/>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 l="1"/>
  <c r="F12" i="1"/>
  <c r="F4" i="1"/>
  <c r="F5" i="1"/>
  <c r="F3" i="1"/>
  <c r="B16" i="1"/>
  <c r="F11" i="1"/>
  <c r="F13" i="1"/>
</calcChain>
</file>

<file path=xl/sharedStrings.xml><?xml version="1.0" encoding="utf-8"?>
<sst xmlns="http://schemas.openxmlformats.org/spreadsheetml/2006/main" count="37" uniqueCount="36">
  <si>
    <t>Store</t>
  </si>
  <si>
    <t>Store A</t>
  </si>
  <si>
    <t>Store B</t>
  </si>
  <si>
    <t>Store C</t>
  </si>
  <si>
    <t>Store D</t>
  </si>
  <si>
    <t>Store E</t>
  </si>
  <si>
    <t>Store F</t>
  </si>
  <si>
    <t>Store G</t>
  </si>
  <si>
    <t>Store H</t>
  </si>
  <si>
    <t>Store I</t>
  </si>
  <si>
    <t>Store J</t>
  </si>
  <si>
    <t>Store K</t>
  </si>
  <si>
    <t>Store L</t>
  </si>
  <si>
    <t>AVERAGE</t>
  </si>
  <si>
    <t>MEDIAN</t>
  </si>
  <si>
    <t>MODE</t>
  </si>
  <si>
    <t>RANGE</t>
  </si>
  <si>
    <t xml:space="preserve">STDEV </t>
  </si>
  <si>
    <t>MONTHLY SALES DATA</t>
  </si>
  <si>
    <t xml:space="preserve"> </t>
  </si>
  <si>
    <t>Column1</t>
  </si>
  <si>
    <t>Exercise 1.B Understanding Variability</t>
  </si>
  <si>
    <t>EXERCISE 1.A Descriptive Statistics</t>
  </si>
  <si>
    <t>STDEV WITHOUT  H</t>
  </si>
  <si>
    <t>DIFFERENCE</t>
  </si>
  <si>
    <t>The standard deviation drops a lot with a difference of 4.73 when Store H is removed, shows Store H is causing high variability.</t>
  </si>
  <si>
    <t>TOTAL</t>
  </si>
  <si>
    <t>Monthly Sales (000)</t>
  </si>
  <si>
    <t>Overall Average Performance</t>
  </si>
  <si>
    <t>The mean monthly sales across all 12 store locations is approximately 49.4, which serves as our baseline benchmark. This figure suggests that, on average, stores are performing at a moderate level. However, the mean alone does not tell the full story, as it is sensitive to extreme values in the dataset.</t>
  </si>
  <si>
    <t>Distribution &amp; Grouping</t>
  </si>
  <si>
    <t>Outlier – Store H</t>
  </si>
  <si>
    <t>Variability &amp; Consistency</t>
  </si>
  <si>
    <t>With Store H included, the standard deviation reflects high variability, making it appear that store performance is inconsistent. Without Store H, the standard deviation is much lower, confirming that the remaining 11 stores are actually performing quite consistently. Leadership should treat the two groups separately when setting performance benchmarks.</t>
  </si>
  <si>
    <t>Store performance is relatively tightly grouped for most locations, with 11 of the 12 stores falling between 43 and 52 a narrow band of just 9 units. The median of 48 is close to the mean, which would normally suggest a symmetric distribution. The mode of 46 confirms that this value occurs most frequently across stores.</t>
  </si>
  <si>
    <t>Store H recorded monthly sales of 72, which stands significantly above all other locations. This single value inflates the overall mean and dramatically increases the standard deviation. When Store H is excluded, the standard deviation drops sharply — demonstrating how one outlier can skew our perception of overall 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</si>
</sst>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5"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7"/>
        <bgColor indexed="64"/>
      </patternFill>
    </fill>
  </fills>
  <borders count="2">
    <border>
      <left/>
      <right/>
      <top/>
      <bottom/>
      <diagonal/>
    </border>
    <border>
      <left style="thin">
        <color theme="4" tint="0.39997558519241921"/>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1">
    <xf numFmtId="0" fontId="0" fillId="0" borderId="0" xfId="0"/>
    <xf numFmtId="0" fontId="3" fillId="0" borderId="0" xfId="0" applyFont="1"/>
    <xf numFmtId="0" fontId="0" fillId="0" borderId="0" xfId="0" applyAlignment="1">
      <alignment horizontal="center"/>
    </xf>
    <xf numFmtId="43" fontId="0" fillId="0" borderId="0" xfId="1" applyFont="1"/>
    <xf numFmtId="43" fontId="0" fillId="2" borderId="0" xfId="1" applyFont="1" applyFill="1"/>
    <xf numFmtId="43" fontId="4" fillId="2" borderId="0" xfId="1" applyFont="1" applyFill="1"/>
    <xf numFmtId="43" fontId="2" fillId="2" borderId="0" xfId="1" applyFont="1" applyFill="1"/>
    <xf numFmtId="44" fontId="0" fillId="0" borderId="0" xfId="2" applyFont="1"/>
    <xf numFmtId="0" fontId="0" fillId="0" borderId="1" xfId="0" applyBorder="1" applyAlignment="1">
      <alignment horizontal="center"/>
    </xf>
    <xf numFmtId="0" fontId="0" fillId="0" borderId="0" xfId="0" applyAlignment="1">
      <alignment horizontal="center"/>
    </xf>
    <xf numFmtId="0" fontId="0" fillId="3" borderId="0" xfId="0" applyFill="1" applyAlignment="1">
      <alignment horizontal="center"/>
    </xf>
  </cellXfs>
  <cellStyles count="3">
    <cellStyle name="Comma" xfId="1" builtinId="3"/>
    <cellStyle name="Currency" xfId="2" builtinId="4"/>
    <cellStyle name="Normal" xfId="0" builtinId="0"/>
  </cellStyles>
  <dxfs count="1">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F719FA-0506-4035-A34D-D30289E54440}" name="Table1" displayName="Table1" ref="A3:B16" totalsRowShown="0">
  <autoFilter ref="A3:B16" xr:uid="{D5F719FA-0506-4035-A34D-D30289E54440}"/>
  <tableColumns count="2">
    <tableColumn id="1" xr3:uid="{78ADC73B-2FB7-4F87-B0FD-451CAFC352FD}" name="Store"/>
    <tableColumn id="2" xr3:uid="{84B4A20A-591D-45E2-B692-B37D1272C233}" name="Monthly Sales (000)" dataCellStyl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44B633-8B01-40BE-938A-8FCB6A359E85}" name="Table5" displayName="Table5" ref="E2:F6" totalsRowShown="0">
  <autoFilter ref="E2:F6" xr:uid="{AE44B633-8B01-40BE-938A-8FCB6A359E85}"/>
  <tableColumns count="2">
    <tableColumn id="1" xr3:uid="{9688ABB9-CAAF-4792-A122-E750D675C5D2}" name="EXERCISE 1.A Descriptive Statistics"/>
    <tableColumn id="2" xr3:uid="{5C62CB08-56C8-49AB-858E-5D943F0E6A5B}" name="Column1"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48E933-ACFD-4B32-9E3C-081B0B49A3FB}" name="Table6" displayName="Table6" ref="E10:F13" totalsRowShown="0" headerRowDxfId="0">
  <autoFilter ref="E10:F13" xr:uid="{F848E933-ACFD-4B32-9E3C-081B0B49A3FB}"/>
  <tableColumns count="2">
    <tableColumn id="1" xr3:uid="{B809530D-B76B-45F7-A926-D6D53A8C0DD1}" name="Exercise 1.B Understanding Variability"/>
    <tableColumn id="2" xr3:uid="{3090150B-3A32-48D4-9E90-ED5527914C29}" name="Column1" dataCellStyle="Comma">
      <calculatedColumnFormula>_xlfn.STDEV.S(B3:B9,B11:B14)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AC6FE-A5E8-41F7-8555-D04C6CD9C360}">
  <dimension ref="A1:M16"/>
  <sheetViews>
    <sheetView tabSelected="1" workbookViewId="0">
      <selection activeCell="A18" sqref="A18"/>
    </sheetView>
  </sheetViews>
  <sheetFormatPr defaultRowHeight="14.5" x14ac:dyDescent="0.35"/>
  <cols>
    <col min="1" max="1" width="11.08984375" bestFit="1" customWidth="1"/>
    <col min="2" max="2" width="19.54296875" bestFit="1" customWidth="1"/>
    <col min="5" max="5" width="34.453125" customWidth="1"/>
    <col min="6" max="6" width="10.453125" style="3" customWidth="1"/>
  </cols>
  <sheetData>
    <row r="1" spans="1:13" x14ac:dyDescent="0.35">
      <c r="A1" s="1" t="s">
        <v>18</v>
      </c>
    </row>
    <row r="2" spans="1:13" x14ac:dyDescent="0.35">
      <c r="E2" t="s">
        <v>22</v>
      </c>
      <c r="F2" s="4" t="s">
        <v>20</v>
      </c>
    </row>
    <row r="3" spans="1:13" x14ac:dyDescent="0.35">
      <c r="A3" t="s">
        <v>0</v>
      </c>
      <c r="B3" t="s">
        <v>27</v>
      </c>
      <c r="E3" t="s">
        <v>13</v>
      </c>
      <c r="F3" s="3">
        <f ca="1">AVERAGE(Table1[Monthly Sales (000)])</f>
        <v>49.416666666666664</v>
      </c>
    </row>
    <row r="4" spans="1:13" x14ac:dyDescent="0.35">
      <c r="A4" t="s">
        <v>1</v>
      </c>
      <c r="B4" s="7">
        <v>51</v>
      </c>
      <c r="E4" t="s">
        <v>14</v>
      </c>
      <c r="F4" s="3">
        <f ca="1">MEDIAN(Table1[Monthly Sales (000)])</f>
        <v>47.5</v>
      </c>
    </row>
    <row r="5" spans="1:13" x14ac:dyDescent="0.35">
      <c r="A5" t="s">
        <v>2</v>
      </c>
      <c r="B5" s="7">
        <v>44</v>
      </c>
      <c r="D5" t="s">
        <v>19</v>
      </c>
      <c r="E5" t="s">
        <v>15</v>
      </c>
      <c r="F5" s="3">
        <f ca="1">MODE(Table1[Monthly Sales (000)])</f>
        <v>46</v>
      </c>
    </row>
    <row r="6" spans="1:13" x14ac:dyDescent="0.35">
      <c r="A6" t="s">
        <v>3</v>
      </c>
      <c r="B6" s="7">
        <v>49</v>
      </c>
      <c r="E6" t="s">
        <v>16</v>
      </c>
      <c r="F6" s="3">
        <f>MAX(B4:B15)-MIN(B4:B15)</f>
        <v>29</v>
      </c>
    </row>
    <row r="7" spans="1:13" x14ac:dyDescent="0.35">
      <c r="A7" t="s">
        <v>4</v>
      </c>
      <c r="B7" s="7">
        <v>46</v>
      </c>
    </row>
    <row r="8" spans="1:13" x14ac:dyDescent="0.35">
      <c r="A8" t="s">
        <v>5</v>
      </c>
      <c r="B8" s="7">
        <v>52</v>
      </c>
    </row>
    <row r="9" spans="1:13" x14ac:dyDescent="0.35">
      <c r="A9" t="s">
        <v>6</v>
      </c>
      <c r="B9" s="7">
        <v>47</v>
      </c>
      <c r="I9" s="2"/>
    </row>
    <row r="10" spans="1:13" x14ac:dyDescent="0.35">
      <c r="A10" t="s">
        <v>7</v>
      </c>
      <c r="B10" s="7">
        <v>45</v>
      </c>
      <c r="E10" t="s">
        <v>21</v>
      </c>
      <c r="F10" s="5" t="s">
        <v>20</v>
      </c>
    </row>
    <row r="11" spans="1:13" x14ac:dyDescent="0.35">
      <c r="A11" t="s">
        <v>8</v>
      </c>
      <c r="B11" s="7">
        <v>72</v>
      </c>
      <c r="E11" t="s">
        <v>17</v>
      </c>
      <c r="F11" s="3">
        <f ca="1">_xlfn.STDEV.S(Table1[Monthly Sales (000)])</f>
        <v>7.6331613054586773</v>
      </c>
    </row>
    <row r="12" spans="1:13" x14ac:dyDescent="0.35">
      <c r="A12" t="s">
        <v>9</v>
      </c>
      <c r="B12" s="7">
        <v>43</v>
      </c>
      <c r="E12" t="s">
        <v>23</v>
      </c>
      <c r="F12" s="3">
        <f>_xlfn.STDEV.S(B4:B10,B12:B15)</f>
        <v>2.9076701075853588</v>
      </c>
    </row>
    <row r="13" spans="1:13" x14ac:dyDescent="0.35">
      <c r="A13" t="s">
        <v>10</v>
      </c>
      <c r="B13" s="7">
        <v>48</v>
      </c>
      <c r="E13" t="s">
        <v>24</v>
      </c>
      <c r="F13" s="6">
        <f ca="1">F11-F12</f>
        <v>4.7254911978733185</v>
      </c>
    </row>
    <row r="14" spans="1:13" x14ac:dyDescent="0.35">
      <c r="A14" t="s">
        <v>11</v>
      </c>
      <c r="B14" s="7">
        <v>46</v>
      </c>
    </row>
    <row r="15" spans="1:13" x14ac:dyDescent="0.35">
      <c r="A15" t="s">
        <v>12</v>
      </c>
      <c r="B15" s="7">
        <v>50</v>
      </c>
    </row>
    <row r="16" spans="1:13" x14ac:dyDescent="0.35">
      <c r="A16" t="s">
        <v>26</v>
      </c>
      <c r="B16" s="7">
        <f ca="1">SUM(Table1[Monthly Sales (000)])</f>
        <v>593</v>
      </c>
      <c r="E16" s="8" t="s">
        <v>25</v>
      </c>
      <c r="F16" s="9"/>
      <c r="G16" s="9"/>
      <c r="H16" s="9"/>
      <c r="I16" s="9"/>
      <c r="J16" s="9"/>
      <c r="K16" s="9"/>
      <c r="L16" s="9"/>
      <c r="M16" s="9"/>
    </row>
  </sheetData>
  <mergeCells count="1">
    <mergeCell ref="E16:M16"/>
  </mergeCells>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BAB2-2E15-4E25-BA4B-C4CD5129E58E}">
  <dimension ref="A1:AG11"/>
  <sheetViews>
    <sheetView workbookViewId="0">
      <selection activeCell="A8" sqref="A8:AE8"/>
    </sheetView>
  </sheetViews>
  <sheetFormatPr defaultRowHeight="14.5" x14ac:dyDescent="0.35"/>
  <sheetData>
    <row r="1" spans="1:33" x14ac:dyDescent="0.35">
      <c r="A1" s="10" t="s">
        <v>28</v>
      </c>
      <c r="B1" s="10"/>
      <c r="C1" s="10"/>
    </row>
    <row r="2" spans="1:33" x14ac:dyDescent="0.35">
      <c r="A2" s="9" t="s">
        <v>29</v>
      </c>
      <c r="B2" s="9"/>
      <c r="C2" s="9"/>
      <c r="D2" s="9"/>
      <c r="E2" s="9"/>
      <c r="F2" s="9"/>
      <c r="G2" s="9"/>
      <c r="H2" s="9"/>
      <c r="I2" s="9"/>
      <c r="J2" s="9"/>
      <c r="K2" s="9"/>
      <c r="L2" s="9"/>
      <c r="M2" s="9"/>
      <c r="N2" s="9"/>
      <c r="O2" s="9"/>
      <c r="P2" s="9"/>
      <c r="Q2" s="9"/>
      <c r="R2" s="9"/>
      <c r="S2" s="9"/>
      <c r="T2" s="9"/>
      <c r="U2" s="9"/>
      <c r="V2" s="9"/>
      <c r="W2" s="9"/>
      <c r="X2" s="9"/>
      <c r="Y2" s="9"/>
      <c r="Z2" s="9"/>
      <c r="AA2" s="9"/>
      <c r="AB2" s="9"/>
    </row>
    <row r="4" spans="1:33" ht="15" customHeight="1" x14ac:dyDescent="0.35">
      <c r="A4" s="10" t="s">
        <v>30</v>
      </c>
      <c r="B4" s="10"/>
      <c r="C4" s="10"/>
    </row>
    <row r="5" spans="1:33" x14ac:dyDescent="0.35">
      <c r="A5" s="9" t="s">
        <v>34</v>
      </c>
      <c r="B5" s="9"/>
      <c r="C5" s="9"/>
      <c r="D5" s="9"/>
      <c r="E5" s="9"/>
      <c r="F5" s="9"/>
      <c r="G5" s="9"/>
      <c r="H5" s="9"/>
      <c r="I5" s="9"/>
      <c r="J5" s="9"/>
      <c r="K5" s="9"/>
      <c r="L5" s="9"/>
      <c r="M5" s="9"/>
      <c r="N5" s="9"/>
      <c r="O5" s="9"/>
      <c r="P5" s="9"/>
      <c r="Q5" s="9"/>
      <c r="R5" s="9"/>
      <c r="S5" s="9"/>
      <c r="T5" s="9"/>
      <c r="U5" s="9"/>
      <c r="V5" s="9"/>
      <c r="W5" s="9"/>
      <c r="X5" s="9"/>
      <c r="Y5" s="9"/>
      <c r="Z5" s="9"/>
      <c r="AA5" s="9"/>
      <c r="AB5" s="9"/>
      <c r="AC5" s="9"/>
      <c r="AD5" s="9"/>
    </row>
    <row r="7" spans="1:33" x14ac:dyDescent="0.35">
      <c r="A7" s="10" t="s">
        <v>31</v>
      </c>
      <c r="B7" s="10"/>
    </row>
    <row r="8" spans="1:33" x14ac:dyDescent="0.35">
      <c r="A8" s="9" t="s">
        <v>35</v>
      </c>
      <c r="B8" s="9"/>
      <c r="C8" s="9"/>
      <c r="D8" s="9"/>
      <c r="E8" s="9"/>
      <c r="F8" s="9"/>
      <c r="G8" s="9"/>
      <c r="H8" s="9"/>
      <c r="I8" s="9"/>
      <c r="J8" s="9"/>
      <c r="K8" s="9"/>
      <c r="L8" s="9"/>
      <c r="M8" s="9"/>
      <c r="N8" s="9"/>
      <c r="O8" s="9"/>
      <c r="P8" s="9"/>
      <c r="Q8" s="9"/>
      <c r="R8" s="9"/>
      <c r="S8" s="9"/>
      <c r="T8" s="9"/>
      <c r="U8" s="9"/>
      <c r="V8" s="9"/>
      <c r="W8" s="9"/>
      <c r="X8" s="9"/>
      <c r="Y8" s="9"/>
      <c r="Z8" s="9"/>
      <c r="AA8" s="9"/>
      <c r="AB8" s="9"/>
      <c r="AC8" s="9"/>
      <c r="AD8" s="9"/>
      <c r="AE8" s="9"/>
    </row>
    <row r="10" spans="1:33" x14ac:dyDescent="0.35">
      <c r="A10" s="10" t="s">
        <v>32</v>
      </c>
      <c r="B10" s="10"/>
      <c r="C10" s="10"/>
    </row>
    <row r="11" spans="1:33" x14ac:dyDescent="0.35">
      <c r="A11" s="9" t="s">
        <v>33</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sheetData>
  <mergeCells count="8">
    <mergeCell ref="A10:C10"/>
    <mergeCell ref="A11:AG11"/>
    <mergeCell ref="A1:C1"/>
    <mergeCell ref="A2:AB2"/>
    <mergeCell ref="A4:C4"/>
    <mergeCell ref="A5:AD5"/>
    <mergeCell ref="A7:B7"/>
    <mergeCell ref="A8:AE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Godknows Mutize</dc:creator>
  <cp:lastModifiedBy>Godknows Mutize</cp:lastModifiedBy>
  <dcterms:created xsi:type="dcterms:W3CDTF">2026-03-25T16:08:26Z</dcterms:created>
  <dcterms:modified xsi:type="dcterms:W3CDTF">2026-04-30T21:38:15Z</dcterms:modified>
</cp:coreProperties>
</file>