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odkn\Documents\DataAnalytics\week-01\"/>
    </mc:Choice>
  </mc:AlternateContent>
  <xr:revisionPtr revIDLastSave="0" documentId="13_ncr:1_{D61D9EF1-43BB-43B4-9149-E10998AB58BE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  <sheet name="Pivot Chart" sheetId="3" r:id="rId2"/>
    <sheet name="3a" sheetId="2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1" i="1"/>
  <c r="D2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<sst xmlns="http://schemas.openxmlformats.org/spreadsheetml/2006/main" count="87" uniqueCount="53">
  <si>
    <t>ID</t>
  </si>
  <si>
    <t>Start time</t>
  </si>
  <si>
    <t>Completion time</t>
  </si>
  <si>
    <t>Email</t>
  </si>
  <si>
    <t>Name</t>
  </si>
  <si>
    <t>Last modified time</t>
  </si>
  <si>
    <t>What did you like most about your visit?</t>
  </si>
  <si>
    <t>What rewards would interest you most?</t>
  </si>
  <si>
    <t>How likely are you to return?</t>
  </si>
  <si>
    <t>How satisfied were you with your food quality?</t>
  </si>
  <si>
    <t>What could we improve?</t>
  </si>
  <si>
    <t>How satisfied were you with the speed of service?</t>
  </si>
  <si>
    <t>How would you rate your overall experience?</t>
  </si>
  <si>
    <t>anonymous</t>
  </si>
  <si>
    <t>Friendly staff</t>
  </si>
  <si>
    <t>Free items</t>
  </si>
  <si>
    <t>Pricing</t>
  </si>
  <si>
    <t>Taste and cleanliness</t>
  </si>
  <si>
    <t>Discounts</t>
  </si>
  <si>
    <t>Price</t>
  </si>
  <si>
    <t>The food was well prepared</t>
  </si>
  <si>
    <t xml:space="preserve">Faster delivery time </t>
  </si>
  <si>
    <t xml:space="preserve">The food </t>
  </si>
  <si>
    <t>Points</t>
  </si>
  <si>
    <t>Bigger portions</t>
  </si>
  <si>
    <t>The food tasted good and the environment was nice.</t>
  </si>
  <si>
    <t>the food</t>
  </si>
  <si>
    <t>Fast service</t>
  </si>
  <si>
    <t>Less salt</t>
  </si>
  <si>
    <t>Sauces comes with wings</t>
  </si>
  <si>
    <t>More meal options</t>
  </si>
  <si>
    <t>fried chicken</t>
  </si>
  <si>
    <t>more chicken</t>
  </si>
  <si>
    <t>More spirit options for the bar</t>
  </si>
  <si>
    <t>i love the family meal</t>
  </si>
  <si>
    <t>cheaper deals</t>
  </si>
  <si>
    <t>The cozy atmosphere as well as the daily specials and affordability</t>
  </si>
  <si>
    <t>faster service</t>
  </si>
  <si>
    <t>Chicken</t>
  </si>
  <si>
    <t>More drink options</t>
  </si>
  <si>
    <t>The rice</t>
  </si>
  <si>
    <t>More gluten-free options please</t>
  </si>
  <si>
    <t xml:space="preserve">food was delicious </t>
  </si>
  <si>
    <t>vegan options</t>
  </si>
  <si>
    <t>The Mango Habanero Wings</t>
  </si>
  <si>
    <t>More sauce on the wings</t>
  </si>
  <si>
    <t>The chicken</t>
  </si>
  <si>
    <t>Better portion sizes</t>
  </si>
  <si>
    <t>The first three columns are: - ID: A unique identifier for each response - Start time: When the person began the survey - Completion time: When the person finished the survey The ID column was included so each response can be uniquely identified, even if two people gave identical answers.</t>
  </si>
  <si>
    <t>Time to Complete</t>
  </si>
  <si>
    <t>Count of Name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</si>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</sst>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70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70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70" formatCode="mm/dd/yyyy\ hh:mm:ss"/>
    </dxf>
    <dxf>
      <numFmt numFmtId="170" formatCode="mm/dd/yyyy\ hh:mm:ss"/>
    </dxf>
    <dxf>
      <numFmt numFmtId="0" formatCode="General"/>
    </dxf>
    <dxf>
      <numFmt numFmtId="28" formatCode="mm:ss"/>
    </dxf>
    <dxf>
      <numFmt numFmtId="170" formatCode="mm/dd/yyyy\ hh:mm:ss"/>
    </dxf>
    <dxf>
      <numFmt numFmtId="170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[Chicken Inn Guest Feedback Survey.(1-19).xlsx]Pivot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Chart'!$A$2:$A$5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'Pivot Chart'!$B$2:$B$5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79F-4B08-A57F-F8DEE9594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515648"/>
        <c:axId val="1816758832"/>
      </c:barChart>
      <c:catAx>
        <c:axId val="122951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758832"/>
        <c:crosses val="autoZero"/>
        <c:auto val="1"/>
        <c:lblAlgn val="ctr"/>
        <c:lblOffset val="100"/>
        <c:noMultiLvlLbl val="0"/>
      </c:catAx>
      <c:valAx>
        <c:axId val="18167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1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EEA54-9D78-F9DB-801D-CD5ADB3B5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knows Mutize" refreshedDate="46125.4122943287" createdVersion="8" refreshedVersion="8" minRefreshableVersion="3" recordCount="19" xr:uid="{BA710140-0CEA-4FFB-BB73-0D51A572828D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19"/>
    </cacheField>
    <cacheField name="Start time" numFmtId="170">
      <sharedItems containsSemiMixedTypes="0" containsNonDate="0" containsDate="1" containsString="0" minDate="2026-04-09T13:39:38" maxDate="2026-04-10T14:57:43"/>
    </cacheField>
    <cacheField name="Completion time" numFmtId="170">
      <sharedItems containsSemiMixedTypes="0" containsNonDate="0" containsDate="1" containsString="0" minDate="2026-04-09T13:40:06" maxDate="2026-04-10T14:58:58"/>
    </cacheField>
    <cacheField name="Time to Complete" numFmtId="45">
      <sharedItems containsSemiMixedTypes="0" containsNonDate="0" containsDate="1" containsString="0" minDate="1899-12-30T00:00:09" maxDate="1899-12-30T03:38:46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What did you like most about your visit?" numFmtId="0">
      <sharedItems containsBlank="1" count="17">
        <s v="Friendly staff"/>
        <s v="Taste and cleanliness"/>
        <s v="The food was well prepared"/>
        <s v="The food "/>
        <s v="The food tasted good and the environment was nice."/>
        <m/>
        <s v="the food"/>
        <s v="Fast service"/>
        <s v="Sauces comes with wings"/>
        <s v="fried chicken"/>
        <s v="i love the family meal"/>
        <s v="The cozy atmosphere as well as the daily specials and affordability"/>
        <s v="Chicken"/>
        <s v="The rice"/>
        <s v="food was delicious "/>
        <s v="The Mango Habanero Wings"/>
        <s v="The chicken"/>
      </sharedItems>
    </cacheField>
    <cacheField name="What rewards would interest you most?" numFmtId="0">
      <sharedItems/>
    </cacheField>
    <cacheField name="How likely are you to return?" numFmtId="0">
      <sharedItems containsSemiMixedTypes="0" containsString="0" containsNumber="1" containsInteger="1" minValue="3" maxValue="5" count="3">
        <n v="4"/>
        <n v="5"/>
        <n v="3"/>
      </sharedItems>
    </cacheField>
    <cacheField name="How satisfied were you with your food quality?" numFmtId="0">
      <sharedItems containsSemiMixedTypes="0" containsString="0" containsNumber="1" containsInteger="1" minValue="2" maxValue="5" count="4">
        <n v="4"/>
        <n v="5"/>
        <n v="3"/>
        <n v="2"/>
      </sharedItems>
    </cacheField>
    <cacheField name="What could we improve?" numFmtId="0">
      <sharedItems containsBlank="1" count="16">
        <s v="Pricing"/>
        <s v="Price"/>
        <s v="Faster delivery time "/>
        <s v="Bigger portions"/>
        <m/>
        <s v="Less salt"/>
        <s v="More meal options"/>
        <s v="more chicken"/>
        <s v="More spirit options for the bar"/>
        <s v="cheaper deals"/>
        <s v="faster service"/>
        <s v="More drink options"/>
        <s v="More gluten-free options please"/>
        <s v="vegan options"/>
        <s v="More sauce on the wings"/>
        <s v="Better portion sizes"/>
      </sharedItems>
    </cacheField>
    <cacheField name="How satisfied were you with the speed of service?" numFmtId="0">
      <sharedItems containsSemiMixedTypes="0" containsString="0" containsNumber="1" containsInteger="1" minValue="3" maxValue="5"/>
    </cacheField>
    <cacheField name="How would you rate your overall experience?" numFmtId="0">
      <sharedItems containsString="0" containsBlank="1" containsNumber="1" containsInteger="1" minValue="5" maxValue="10" count="7">
        <n v="9"/>
        <n v="8"/>
        <n v="10"/>
        <n v="7"/>
        <m/>
        <n v="6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d v="2026-04-09T13:39:38"/>
    <d v="2026-04-09T13:40:06"/>
    <d v="1899-12-30T00:00:28"/>
    <s v="anonymous"/>
    <m/>
    <m/>
    <x v="0"/>
    <s v="Free items"/>
    <x v="0"/>
    <x v="0"/>
    <x v="0"/>
    <n v="4"/>
    <x v="0"/>
  </r>
  <r>
    <n v="2"/>
    <d v="2026-04-09T13:39:49"/>
    <d v="2026-04-09T13:40:17"/>
    <d v="1899-12-30T00:00:28"/>
    <s v="anonymous"/>
    <m/>
    <m/>
    <x v="1"/>
    <s v="Discounts"/>
    <x v="1"/>
    <x v="1"/>
    <x v="1"/>
    <n v="5"/>
    <x v="0"/>
  </r>
  <r>
    <n v="3"/>
    <d v="2026-04-09T13:41:25"/>
    <d v="2026-04-09T13:43:09"/>
    <d v="1899-12-30T00:01:44"/>
    <s v="anonymous"/>
    <m/>
    <m/>
    <x v="2"/>
    <s v="Free items"/>
    <x v="0"/>
    <x v="0"/>
    <x v="2"/>
    <n v="3"/>
    <x v="1"/>
  </r>
  <r>
    <n v="4"/>
    <d v="2026-04-09T13:43:51"/>
    <d v="2026-04-09T13:44:30"/>
    <d v="1899-12-30T00:00:39"/>
    <s v="anonymous"/>
    <m/>
    <m/>
    <x v="3"/>
    <s v="Points"/>
    <x v="1"/>
    <x v="1"/>
    <x v="3"/>
    <n v="5"/>
    <x v="0"/>
  </r>
  <r>
    <n v="5"/>
    <d v="2026-04-09T13:46:07"/>
    <d v="2026-04-09T13:46:40"/>
    <d v="1899-12-30T00:00:33"/>
    <s v="anonymous"/>
    <m/>
    <m/>
    <x v="4"/>
    <s v="Points"/>
    <x v="1"/>
    <x v="1"/>
    <x v="4"/>
    <n v="5"/>
    <x v="2"/>
  </r>
  <r>
    <n v="6"/>
    <d v="2026-04-09T13:46:18"/>
    <d v="2026-04-09T13:46:47"/>
    <d v="1899-12-30T00:00:29"/>
    <s v="anonymous"/>
    <m/>
    <m/>
    <x v="5"/>
    <s v="Discounts"/>
    <x v="1"/>
    <x v="0"/>
    <x v="4"/>
    <n v="4"/>
    <x v="3"/>
  </r>
  <r>
    <n v="7"/>
    <d v="2026-04-09T13:47:32"/>
    <d v="2026-04-09T13:47:41"/>
    <d v="1899-12-30T00:00:09"/>
    <s v="anonymous"/>
    <m/>
    <m/>
    <x v="5"/>
    <s v="Discounts"/>
    <x v="1"/>
    <x v="1"/>
    <x v="4"/>
    <n v="5"/>
    <x v="4"/>
  </r>
  <r>
    <n v="8"/>
    <d v="2026-04-09T13:49:22"/>
    <d v="2026-04-09T13:51:44"/>
    <d v="1899-12-30T00:02:22"/>
    <s v="anonymous"/>
    <m/>
    <m/>
    <x v="6"/>
    <s v="Free items"/>
    <x v="2"/>
    <x v="2"/>
    <x v="4"/>
    <n v="3"/>
    <x v="3"/>
  </r>
  <r>
    <n v="9"/>
    <d v="2026-04-09T13:48:36"/>
    <d v="2026-04-09T13:54:32"/>
    <d v="1899-12-30T00:05:56"/>
    <s v="anonymous"/>
    <m/>
    <m/>
    <x v="7"/>
    <s v="Discounts"/>
    <x v="0"/>
    <x v="2"/>
    <x v="5"/>
    <n v="5"/>
    <x v="3"/>
  </r>
  <r>
    <n v="10"/>
    <d v="2026-04-09T13:53:42"/>
    <d v="2026-04-09T13:54:33"/>
    <d v="1899-12-30T00:00:51"/>
    <s v="anonymous"/>
    <m/>
    <m/>
    <x v="8"/>
    <s v="Discounts"/>
    <x v="0"/>
    <x v="1"/>
    <x v="6"/>
    <n v="3"/>
    <x v="0"/>
  </r>
  <r>
    <n v="11"/>
    <d v="2026-04-09T13:53:11"/>
    <d v="2026-04-09T13:56:05"/>
    <d v="1899-12-30T00:02:54"/>
    <s v="anonymous"/>
    <m/>
    <m/>
    <x v="9"/>
    <s v="Free items"/>
    <x v="0"/>
    <x v="0"/>
    <x v="7"/>
    <n v="4"/>
    <x v="1"/>
  </r>
  <r>
    <n v="12"/>
    <d v="2026-04-09T13:55:03"/>
    <d v="2026-04-09T13:56:07"/>
    <d v="1899-12-30T00:01:04"/>
    <s v="anonymous"/>
    <m/>
    <m/>
    <x v="5"/>
    <s v="Free items"/>
    <x v="0"/>
    <x v="0"/>
    <x v="8"/>
    <n v="4"/>
    <x v="3"/>
  </r>
  <r>
    <n v="13"/>
    <d v="2026-04-09T14:27:27"/>
    <d v="2026-04-09T14:47:59"/>
    <d v="1899-12-30T00:20:32"/>
    <s v="anonymous"/>
    <m/>
    <m/>
    <x v="10"/>
    <s v="Free items"/>
    <x v="0"/>
    <x v="0"/>
    <x v="9"/>
    <n v="3"/>
    <x v="5"/>
  </r>
  <r>
    <n v="14"/>
    <d v="2026-04-09T16:28:48"/>
    <d v="2026-04-09T16:30:25"/>
    <d v="1899-12-30T00:01:37"/>
    <s v="anonymous"/>
    <m/>
    <m/>
    <x v="11"/>
    <s v="Free items"/>
    <x v="2"/>
    <x v="0"/>
    <x v="10"/>
    <n v="3"/>
    <x v="3"/>
  </r>
  <r>
    <n v="15"/>
    <d v="2026-04-09T13:44:41"/>
    <d v="2026-04-09T17:23:27"/>
    <d v="1899-12-30T03:38:46"/>
    <s v="anonymous"/>
    <m/>
    <m/>
    <x v="12"/>
    <s v="Free items"/>
    <x v="2"/>
    <x v="0"/>
    <x v="11"/>
    <n v="4"/>
    <x v="1"/>
  </r>
  <r>
    <n v="16"/>
    <d v="2026-04-09T17:48:31"/>
    <d v="2026-04-09T17:49:44"/>
    <d v="1899-12-30T00:01:13"/>
    <s v="anonymous"/>
    <m/>
    <m/>
    <x v="13"/>
    <s v="Free items"/>
    <x v="1"/>
    <x v="3"/>
    <x v="12"/>
    <n v="4"/>
    <x v="6"/>
  </r>
  <r>
    <n v="17"/>
    <d v="2026-04-10T10:16:39"/>
    <d v="2026-04-10T10:18:30"/>
    <d v="1899-12-30T00:01:51"/>
    <s v="anonymous"/>
    <m/>
    <m/>
    <x v="14"/>
    <s v="Discounts"/>
    <x v="1"/>
    <x v="1"/>
    <x v="13"/>
    <n v="5"/>
    <x v="0"/>
  </r>
  <r>
    <n v="18"/>
    <d v="2026-04-10T14:22:27"/>
    <d v="2026-04-10T14:23:03"/>
    <d v="1899-12-30T00:00:36"/>
    <s v="anonymous"/>
    <m/>
    <m/>
    <x v="15"/>
    <s v="Discounts"/>
    <x v="1"/>
    <x v="1"/>
    <x v="14"/>
    <n v="3"/>
    <x v="1"/>
  </r>
  <r>
    <n v="19"/>
    <d v="2026-04-10T14:57:43"/>
    <d v="2026-04-10T14:58:58"/>
    <d v="1899-12-30T00:01:15"/>
    <s v="anonymous"/>
    <m/>
    <m/>
    <x v="16"/>
    <s v="Free items"/>
    <x v="2"/>
    <x v="0"/>
    <x v="15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680C0-70EA-4092-A95F-AD17F880BF5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4">
    <pivotField showAll="0"/>
    <pivotField numFmtId="170" showAll="0"/>
    <pivotField numFmtId="170" showAll="0"/>
    <pivotField numFmtId="45" showAll="0"/>
    <pivotField showAll="0"/>
    <pivotField dataField="1" showAll="0"/>
    <pivotField showAll="0"/>
    <pivotField showAll="0">
      <items count="18">
        <item x="12"/>
        <item x="7"/>
        <item x="14"/>
        <item x="9"/>
        <item x="0"/>
        <item x="10"/>
        <item x="8"/>
        <item x="1"/>
        <item x="16"/>
        <item x="11"/>
        <item x="6"/>
        <item x="3"/>
        <item x="4"/>
        <item x="2"/>
        <item x="15"/>
        <item x="13"/>
        <item x="5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17">
        <item x="15"/>
        <item x="3"/>
        <item x="9"/>
        <item x="2"/>
        <item x="10"/>
        <item x="5"/>
        <item x="7"/>
        <item x="11"/>
        <item x="12"/>
        <item x="6"/>
        <item x="14"/>
        <item x="8"/>
        <item x="1"/>
        <item x="0"/>
        <item x="13"/>
        <item x="4"/>
        <item t="default"/>
      </items>
    </pivotField>
    <pivotField showAll="0"/>
    <pivotField showAll="0">
      <items count="8">
        <item x="6"/>
        <item x="5"/>
        <item x="3"/>
        <item x="1"/>
        <item x="0"/>
        <item x="2"/>
        <item x="4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1" totalsRowCount="1">
  <autoFilter ref="A1:N20" xr:uid="{00000000-0009-0000-0100-000001000000}"/>
  <tableColumns count="14">
    <tableColumn id="1" xr3:uid="{00000000-0010-0000-0000-000001000000}" name="ID" dataDxfId="17" totalsRowDxfId="13"/>
    <tableColumn id="2" xr3:uid="{00000000-0010-0000-0000-000002000000}" name="Start time" dataDxfId="16" totalsRowDxfId="12"/>
    <tableColumn id="3" xr3:uid="{00000000-0010-0000-0000-000003000000}" name="Completion time" dataDxfId="15" totalsRowDxfId="11"/>
    <tableColumn id="14" xr3:uid="{DFDA7D1B-7129-4F30-9417-359719241203}" name="Time to Complete" totalsRowFunction="custom" dataDxfId="14" totalsRowDxfId="10">
      <calculatedColumnFormula>C2-B2</calculatedColumnFormula>
      <totalsRowFormula>AVERAGE(D2:D20)</totalsRowFormula>
    </tableColumn>
    <tableColumn id="4" xr3:uid="{00000000-0010-0000-0000-000004000000}" name="Email" dataDxfId="27" totalsRowDxfId="9"/>
    <tableColumn id="5" xr3:uid="{00000000-0010-0000-0000-000005000000}" name="Name" dataDxfId="26" totalsRowDxfId="8"/>
    <tableColumn id="6" xr3:uid="{00000000-0010-0000-0000-000006000000}" name="Last modified time" dataDxfId="25" totalsRowDxfId="7"/>
    <tableColumn id="7" xr3:uid="{00000000-0010-0000-0000-000007000000}" name="What did you like most about your visit?" dataDxfId="24" totalsRowDxfId="6"/>
    <tableColumn id="8" xr3:uid="{00000000-0010-0000-0000-000008000000}" name="What rewards would interest you most?" totalsRowFunction="custom" dataDxfId="23" totalsRowDxfId="5">
      <totalsRowFormula>COUNTIF(Table1[What rewards would interest you most?], "Free items")</totalsRowFormula>
    </tableColumn>
    <tableColumn id="9" xr3:uid="{00000000-0010-0000-0000-000009000000}" name="How likely are you to return?" dataDxfId="22" totalsRowDxfId="4"/>
    <tableColumn id="10" xr3:uid="{00000000-0010-0000-0000-00000A000000}" name="How satisfied were you with your food quality?" dataDxfId="21" totalsRowDxfId="3"/>
    <tableColumn id="11" xr3:uid="{00000000-0010-0000-0000-00000B000000}" name="What could we improve?" dataDxfId="20" totalsRowDxfId="2"/>
    <tableColumn id="12" xr3:uid="{00000000-0010-0000-0000-00000C000000}" name="How satisfied were you with the speed of service?" dataDxfId="19" totalsRowDxfId="1"/>
    <tableColumn id="13" xr3:uid="{00000000-0010-0000-0000-00000D000000}" name="How would you rate your overall experience?" dataDxfId="1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/>
  </sheetViews>
  <sheetFormatPr defaultRowHeight="14.5" x14ac:dyDescent="0.35"/>
  <cols>
    <col min="1" max="1" width="20" bestFit="1" customWidth="1"/>
    <col min="2" max="3" width="20" style="3" bestFit="1" customWidth="1"/>
    <col min="4" max="4" width="20" style="4" customWidth="1"/>
    <col min="5" max="14" width="20" bestFit="1" customWidth="1"/>
  </cols>
  <sheetData>
    <row r="1" spans="1:14" x14ac:dyDescent="0.35">
      <c r="A1" t="s">
        <v>0</v>
      </c>
      <c r="B1" s="3" t="s">
        <v>1</v>
      </c>
      <c r="C1" s="3" t="s">
        <v>2</v>
      </c>
      <c r="D1" s="4" t="s">
        <v>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 s="3">
        <v>46121.5691898148</v>
      </c>
      <c r="C2" s="3">
        <v>46121.569513888899</v>
      </c>
      <c r="D2" s="4">
        <f t="shared" ref="D2:D20" si="0">C2-B2</f>
        <v>3.2407409889856353E-4</v>
      </c>
      <c r="E2" t="s">
        <v>13</v>
      </c>
      <c r="G2" s="1"/>
      <c r="H2" t="s">
        <v>14</v>
      </c>
      <c r="I2" t="s">
        <v>15</v>
      </c>
      <c r="J2">
        <v>4</v>
      </c>
      <c r="K2">
        <v>4</v>
      </c>
      <c r="L2" t="s">
        <v>16</v>
      </c>
      <c r="M2">
        <v>4</v>
      </c>
      <c r="N2">
        <v>9</v>
      </c>
    </row>
    <row r="3" spans="1:14" x14ac:dyDescent="0.35">
      <c r="A3">
        <v>2</v>
      </c>
      <c r="B3" s="3">
        <v>46121.569317129601</v>
      </c>
      <c r="C3" s="3">
        <v>46121.5696412037</v>
      </c>
      <c r="D3" s="4">
        <f t="shared" si="0"/>
        <v>3.2407409889856353E-4</v>
      </c>
      <c r="E3" t="s">
        <v>13</v>
      </c>
      <c r="G3" s="1"/>
      <c r="H3" t="s">
        <v>17</v>
      </c>
      <c r="I3" t="s">
        <v>18</v>
      </c>
      <c r="J3">
        <v>5</v>
      </c>
      <c r="K3">
        <v>5</v>
      </c>
      <c r="L3" t="s">
        <v>19</v>
      </c>
      <c r="M3">
        <v>5</v>
      </c>
      <c r="N3">
        <v>9</v>
      </c>
    </row>
    <row r="4" spans="1:14" x14ac:dyDescent="0.35">
      <c r="A4">
        <v>3</v>
      </c>
      <c r="B4" s="3">
        <v>46121.570428240702</v>
      </c>
      <c r="C4" s="3">
        <v>46121.571631944404</v>
      </c>
      <c r="D4" s="4">
        <f t="shared" si="0"/>
        <v>1.2037037013215013E-3</v>
      </c>
      <c r="E4" t="s">
        <v>13</v>
      </c>
      <c r="G4" s="1"/>
      <c r="H4" t="s">
        <v>20</v>
      </c>
      <c r="I4" t="s">
        <v>15</v>
      </c>
      <c r="J4">
        <v>4</v>
      </c>
      <c r="K4">
        <v>4</v>
      </c>
      <c r="L4" t="s">
        <v>21</v>
      </c>
      <c r="M4">
        <v>3</v>
      </c>
      <c r="N4">
        <v>8</v>
      </c>
    </row>
    <row r="5" spans="1:14" x14ac:dyDescent="0.35">
      <c r="A5">
        <v>4</v>
      </c>
      <c r="B5" s="3">
        <v>46121.572118055599</v>
      </c>
      <c r="C5" s="3">
        <v>46121.572569444397</v>
      </c>
      <c r="D5" s="4">
        <f t="shared" si="0"/>
        <v>4.5138879795558751E-4</v>
      </c>
      <c r="E5" t="s">
        <v>13</v>
      </c>
      <c r="G5" s="1"/>
      <c r="H5" t="s">
        <v>22</v>
      </c>
      <c r="I5" t="s">
        <v>23</v>
      </c>
      <c r="J5">
        <v>5</v>
      </c>
      <c r="K5">
        <v>5</v>
      </c>
      <c r="L5" t="s">
        <v>24</v>
      </c>
      <c r="M5">
        <v>5</v>
      </c>
      <c r="N5">
        <v>9</v>
      </c>
    </row>
    <row r="6" spans="1:14" x14ac:dyDescent="0.35">
      <c r="A6">
        <v>5</v>
      </c>
      <c r="B6" s="3">
        <v>46121.573692129597</v>
      </c>
      <c r="C6" s="3">
        <v>46121.574074074102</v>
      </c>
      <c r="D6" s="4">
        <f t="shared" si="0"/>
        <v>3.8194450462469831E-4</v>
      </c>
      <c r="E6" t="s">
        <v>13</v>
      </c>
      <c r="G6" s="1"/>
      <c r="H6" t="s">
        <v>25</v>
      </c>
      <c r="I6" t="s">
        <v>23</v>
      </c>
      <c r="J6">
        <v>5</v>
      </c>
      <c r="K6">
        <v>5</v>
      </c>
      <c r="M6">
        <v>5</v>
      </c>
      <c r="N6">
        <v>10</v>
      </c>
    </row>
    <row r="7" spans="1:14" x14ac:dyDescent="0.35">
      <c r="A7">
        <v>6</v>
      </c>
      <c r="B7" s="3">
        <v>46121.573819444398</v>
      </c>
      <c r="C7" s="3">
        <v>46121.574155092603</v>
      </c>
      <c r="D7" s="4">
        <f t="shared" si="0"/>
        <v>3.3564820478204638E-4</v>
      </c>
      <c r="E7" t="s">
        <v>13</v>
      </c>
      <c r="G7" s="1"/>
      <c r="I7" t="s">
        <v>18</v>
      </c>
      <c r="J7">
        <v>5</v>
      </c>
      <c r="K7">
        <v>4</v>
      </c>
      <c r="M7">
        <v>4</v>
      </c>
      <c r="N7">
        <v>7</v>
      </c>
    </row>
    <row r="8" spans="1:14" x14ac:dyDescent="0.35">
      <c r="A8">
        <v>7</v>
      </c>
      <c r="B8" s="3">
        <v>46121.574675925898</v>
      </c>
      <c r="C8" s="3">
        <v>46121.574780092596</v>
      </c>
      <c r="D8" s="4">
        <f t="shared" si="0"/>
        <v>1.041666982928291E-4</v>
      </c>
      <c r="E8" t="s">
        <v>13</v>
      </c>
      <c r="G8" s="1"/>
      <c r="I8" t="s">
        <v>18</v>
      </c>
      <c r="J8">
        <v>5</v>
      </c>
      <c r="K8">
        <v>5</v>
      </c>
      <c r="M8">
        <v>5</v>
      </c>
    </row>
    <row r="9" spans="1:14" x14ac:dyDescent="0.35">
      <c r="A9">
        <v>8</v>
      </c>
      <c r="B9" s="3">
        <v>46121.575949074097</v>
      </c>
      <c r="C9" s="3">
        <v>46121.577592592599</v>
      </c>
      <c r="D9" s="4">
        <f t="shared" si="0"/>
        <v>1.6435185025329702E-3</v>
      </c>
      <c r="E9" t="s">
        <v>13</v>
      </c>
      <c r="G9" s="1"/>
      <c r="H9" t="s">
        <v>26</v>
      </c>
      <c r="I9" t="s">
        <v>15</v>
      </c>
      <c r="J9">
        <v>3</v>
      </c>
      <c r="K9">
        <v>3</v>
      </c>
      <c r="M9">
        <v>3</v>
      </c>
      <c r="N9">
        <v>7</v>
      </c>
    </row>
    <row r="10" spans="1:14" x14ac:dyDescent="0.35">
      <c r="A10">
        <v>9</v>
      </c>
      <c r="B10" s="3">
        <v>46121.575416666703</v>
      </c>
      <c r="C10" s="3">
        <v>46121.579537037003</v>
      </c>
      <c r="D10" s="4">
        <f t="shared" si="0"/>
        <v>4.1203703003702685E-3</v>
      </c>
      <c r="E10" t="s">
        <v>13</v>
      </c>
      <c r="G10" s="1"/>
      <c r="H10" t="s">
        <v>27</v>
      </c>
      <c r="I10" t="s">
        <v>18</v>
      </c>
      <c r="J10">
        <v>4</v>
      </c>
      <c r="K10">
        <v>3</v>
      </c>
      <c r="L10" t="s">
        <v>28</v>
      </c>
      <c r="M10">
        <v>5</v>
      </c>
      <c r="N10">
        <v>7</v>
      </c>
    </row>
    <row r="11" spans="1:14" x14ac:dyDescent="0.35">
      <c r="A11">
        <v>10</v>
      </c>
      <c r="B11" s="3">
        <v>46121.578958333303</v>
      </c>
      <c r="C11" s="3">
        <v>46121.579548611102</v>
      </c>
      <c r="D11" s="4">
        <f t="shared" si="0"/>
        <v>5.9027779934694991E-4</v>
      </c>
      <c r="E11" t="s">
        <v>13</v>
      </c>
      <c r="G11" s="1"/>
      <c r="H11" t="s">
        <v>29</v>
      </c>
      <c r="I11" t="s">
        <v>18</v>
      </c>
      <c r="J11">
        <v>4</v>
      </c>
      <c r="K11">
        <v>5</v>
      </c>
      <c r="L11" t="s">
        <v>30</v>
      </c>
      <c r="M11">
        <v>3</v>
      </c>
      <c r="N11">
        <v>9</v>
      </c>
    </row>
    <row r="12" spans="1:14" x14ac:dyDescent="0.35">
      <c r="A12">
        <v>11</v>
      </c>
      <c r="B12" s="3">
        <v>46121.578599537002</v>
      </c>
      <c r="C12" s="3">
        <v>46121.580613425896</v>
      </c>
      <c r="D12" s="4">
        <f t="shared" si="0"/>
        <v>2.013888893998228E-3</v>
      </c>
      <c r="E12" t="s">
        <v>13</v>
      </c>
      <c r="G12" s="1"/>
      <c r="H12" t="s">
        <v>31</v>
      </c>
      <c r="I12" t="s">
        <v>15</v>
      </c>
      <c r="J12">
        <v>4</v>
      </c>
      <c r="K12">
        <v>4</v>
      </c>
      <c r="L12" t="s">
        <v>32</v>
      </c>
      <c r="M12">
        <v>4</v>
      </c>
      <c r="N12">
        <v>8</v>
      </c>
    </row>
    <row r="13" spans="1:14" x14ac:dyDescent="0.35">
      <c r="A13">
        <v>12</v>
      </c>
      <c r="B13" s="3">
        <v>46121.579895833303</v>
      </c>
      <c r="C13" s="3">
        <v>46121.580636574101</v>
      </c>
      <c r="D13" s="4">
        <f t="shared" si="0"/>
        <v>7.4074079748243093E-4</v>
      </c>
      <c r="E13" t="s">
        <v>13</v>
      </c>
      <c r="G13" s="1"/>
      <c r="I13" t="s">
        <v>15</v>
      </c>
      <c r="J13">
        <v>4</v>
      </c>
      <c r="K13">
        <v>4</v>
      </c>
      <c r="L13" t="s">
        <v>33</v>
      </c>
      <c r="M13">
        <v>4</v>
      </c>
      <c r="N13">
        <v>7</v>
      </c>
    </row>
    <row r="14" spans="1:14" x14ac:dyDescent="0.35">
      <c r="A14">
        <v>13</v>
      </c>
      <c r="B14" s="3">
        <v>46121.602395833303</v>
      </c>
      <c r="C14" s="3">
        <v>46121.616655092599</v>
      </c>
      <c r="D14" s="4">
        <f t="shared" si="0"/>
        <v>1.4259259296522941E-2</v>
      </c>
      <c r="E14" t="s">
        <v>13</v>
      </c>
      <c r="G14" s="1"/>
      <c r="H14" t="s">
        <v>34</v>
      </c>
      <c r="I14" t="s">
        <v>15</v>
      </c>
      <c r="J14">
        <v>4</v>
      </c>
      <c r="K14">
        <v>4</v>
      </c>
      <c r="L14" t="s">
        <v>35</v>
      </c>
      <c r="M14">
        <v>3</v>
      </c>
      <c r="N14">
        <v>6</v>
      </c>
    </row>
    <row r="15" spans="1:14" x14ac:dyDescent="0.35">
      <c r="A15">
        <v>14</v>
      </c>
      <c r="B15" s="3">
        <v>46121.686666666697</v>
      </c>
      <c r="C15" s="3">
        <v>46121.687789351803</v>
      </c>
      <c r="D15" s="4">
        <f t="shared" si="0"/>
        <v>1.1226851056562737E-3</v>
      </c>
      <c r="E15" t="s">
        <v>13</v>
      </c>
      <c r="G15" s="1"/>
      <c r="H15" t="s">
        <v>36</v>
      </c>
      <c r="I15" t="s">
        <v>15</v>
      </c>
      <c r="J15">
        <v>3</v>
      </c>
      <c r="K15">
        <v>4</v>
      </c>
      <c r="L15" t="s">
        <v>37</v>
      </c>
      <c r="M15">
        <v>3</v>
      </c>
      <c r="N15">
        <v>7</v>
      </c>
    </row>
    <row r="16" spans="1:14" x14ac:dyDescent="0.35">
      <c r="A16">
        <v>15</v>
      </c>
      <c r="B16" s="3">
        <v>46121.5726967593</v>
      </c>
      <c r="C16" s="3">
        <v>46121.724618055603</v>
      </c>
      <c r="D16" s="4">
        <f t="shared" si="0"/>
        <v>0.15192129630304407</v>
      </c>
      <c r="E16" t="s">
        <v>13</v>
      </c>
      <c r="G16" s="1"/>
      <c r="H16" t="s">
        <v>38</v>
      </c>
      <c r="I16" t="s">
        <v>15</v>
      </c>
      <c r="J16">
        <v>3</v>
      </c>
      <c r="K16">
        <v>4</v>
      </c>
      <c r="L16" t="s">
        <v>39</v>
      </c>
      <c r="M16">
        <v>4</v>
      </c>
      <c r="N16">
        <v>8</v>
      </c>
    </row>
    <row r="17" spans="1:14" x14ac:dyDescent="0.35">
      <c r="A17">
        <v>16</v>
      </c>
      <c r="B17" s="3">
        <v>46121.742025462998</v>
      </c>
      <c r="C17" s="3">
        <v>46121.742870370399</v>
      </c>
      <c r="D17" s="4">
        <f t="shared" si="0"/>
        <v>8.4490740118781105E-4</v>
      </c>
      <c r="E17" t="s">
        <v>13</v>
      </c>
      <c r="G17" s="1"/>
      <c r="H17" t="s">
        <v>40</v>
      </c>
      <c r="I17" t="s">
        <v>15</v>
      </c>
      <c r="J17">
        <v>5</v>
      </c>
      <c r="K17">
        <v>2</v>
      </c>
      <c r="L17" t="s">
        <v>41</v>
      </c>
      <c r="M17">
        <v>4</v>
      </c>
      <c r="N17">
        <v>5</v>
      </c>
    </row>
    <row r="18" spans="1:14" x14ac:dyDescent="0.35">
      <c r="A18">
        <v>17</v>
      </c>
      <c r="B18" s="3">
        <v>46122.428229166697</v>
      </c>
      <c r="C18" s="3">
        <v>46122.429513888899</v>
      </c>
      <c r="D18" s="4">
        <f t="shared" si="0"/>
        <v>1.2847222023992799E-3</v>
      </c>
      <c r="E18" t="s">
        <v>13</v>
      </c>
      <c r="G18" s="1"/>
      <c r="H18" t="s">
        <v>42</v>
      </c>
      <c r="I18" t="s">
        <v>18</v>
      </c>
      <c r="J18">
        <v>5</v>
      </c>
      <c r="K18">
        <v>5</v>
      </c>
      <c r="L18" t="s">
        <v>43</v>
      </c>
      <c r="M18">
        <v>5</v>
      </c>
      <c r="N18">
        <v>9</v>
      </c>
    </row>
    <row r="19" spans="1:14" x14ac:dyDescent="0.35">
      <c r="A19">
        <v>18</v>
      </c>
      <c r="B19" s="3">
        <v>46122.598923611098</v>
      </c>
      <c r="C19" s="3">
        <v>46122.599340277797</v>
      </c>
      <c r="D19" s="4">
        <f t="shared" si="0"/>
        <v>4.166666985838674E-4</v>
      </c>
      <c r="E19" t="s">
        <v>13</v>
      </c>
      <c r="G19" s="1"/>
      <c r="H19" t="s">
        <v>44</v>
      </c>
      <c r="I19" t="s">
        <v>18</v>
      </c>
      <c r="J19">
        <v>5</v>
      </c>
      <c r="K19">
        <v>5</v>
      </c>
      <c r="L19" t="s">
        <v>45</v>
      </c>
      <c r="M19">
        <v>3</v>
      </c>
      <c r="N19">
        <v>8</v>
      </c>
    </row>
    <row r="20" spans="1:14" x14ac:dyDescent="0.35">
      <c r="A20">
        <v>19</v>
      </c>
      <c r="B20" s="3">
        <v>46122.623414351903</v>
      </c>
      <c r="C20" s="3">
        <v>46122.6242824074</v>
      </c>
      <c r="D20" s="4">
        <f t="shared" si="0"/>
        <v>8.6805549653945491E-4</v>
      </c>
      <c r="E20" t="s">
        <v>13</v>
      </c>
      <c r="G20" s="1"/>
      <c r="H20" t="s">
        <v>46</v>
      </c>
      <c r="I20" t="s">
        <v>15</v>
      </c>
      <c r="J20">
        <v>3</v>
      </c>
      <c r="K20">
        <v>4</v>
      </c>
      <c r="L20" t="s">
        <v>47</v>
      </c>
      <c r="M20">
        <v>4</v>
      </c>
      <c r="N20">
        <v>7</v>
      </c>
    </row>
    <row r="21" spans="1:14" x14ac:dyDescent="0.35">
      <c r="A21" s="2"/>
      <c r="D21" s="4">
        <f>AVERAGE(D2:D20)</f>
        <v>9.6290204685493871E-3</v>
      </c>
      <c r="E21" s="2"/>
      <c r="F21" s="2"/>
      <c r="G21" s="1"/>
      <c r="H21" s="2"/>
      <c r="I21" s="2">
        <f>COUNTIF(Table1[What rewards would interest you most?], "Free items")</f>
        <v>10</v>
      </c>
      <c r="J21" s="2"/>
      <c r="K21" s="2"/>
      <c r="L21" s="2"/>
      <c r="M21" s="2"/>
      <c r="N21" s="2"/>
    </row>
    <row r="22" spans="1:14" x14ac:dyDescent="0.35">
      <c r="I22">
        <f>SUM(COUNTIF(Table1[What rewards would interest you most?], "Free items"), COUNTIF(Table1[What rewards would interest you most?], "Points"))</f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C32E-1667-463B-AD62-CB14C688CC1D}">
  <dimension ref="A1:B5"/>
  <sheetViews>
    <sheetView workbookViewId="0"/>
  </sheetViews>
  <sheetFormatPr defaultRowHeight="14.5" x14ac:dyDescent="0.35"/>
  <cols>
    <col min="1" max="1" width="12.36328125" bestFit="1" customWidth="1"/>
    <col min="2" max="2" width="13.54296875" bestFit="1" customWidth="1"/>
  </cols>
  <sheetData>
    <row r="1" spans="1:2" x14ac:dyDescent="0.35">
      <c r="A1" s="5" t="s">
        <v>51</v>
      </c>
      <c r="B1" t="s">
        <v>50</v>
      </c>
    </row>
    <row r="2" spans="1:2" x14ac:dyDescent="0.35">
      <c r="A2" s="6">
        <v>3</v>
      </c>
      <c r="B2" s="2"/>
    </row>
    <row r="3" spans="1:2" x14ac:dyDescent="0.35">
      <c r="A3" s="6">
        <v>4</v>
      </c>
      <c r="B3" s="2"/>
    </row>
    <row r="4" spans="1:2" x14ac:dyDescent="0.35">
      <c r="A4" s="6">
        <v>5</v>
      </c>
      <c r="B4" s="2"/>
    </row>
    <row r="5" spans="1:2" x14ac:dyDescent="0.35">
      <c r="A5" s="6" t="s">
        <v>52</v>
      </c>
      <c r="B5" s="2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5927-40BF-46DE-8869-7ED8B3F881C3}">
  <dimension ref="A1"/>
  <sheetViews>
    <sheetView workbookViewId="0">
      <selection activeCell="B7" sqref="B7"/>
    </sheetView>
  </sheetViews>
  <sheetFormatPr defaultRowHeight="14.5" x14ac:dyDescent="0.35"/>
  <sheetData>
    <row r="1" spans="1:1" x14ac:dyDescent="0.35">
      <c r="A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Chart</vt:lpstr>
      <vt:lpstr>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Godknows Mutize</cp:lastModifiedBy>
  <dcterms:created xsi:type="dcterms:W3CDTF">2026-04-13T04:28:13Z</dcterms:created>
  <dcterms:modified xsi:type="dcterms:W3CDTF">2026-04-14T15:48:34Z</dcterms:modified>
</cp:coreProperties>
</file>